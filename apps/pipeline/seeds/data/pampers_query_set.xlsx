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ries" sheetId="1" state="visible" r:id="rId3"/>
    <sheet name="Summary" sheetId="2" state="visible" r:id="rId4"/>
  </sheets>
  <definedNames>
    <definedName function="false" hidden="true" localSheetId="0" name="_xlnm._FilterDatabase" vbProcedure="false">Queries!$A$1:$M$56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<sst xmlns="http://schemas.openxmlformats.org/spreadsheetml/2006/main" count="709" uniqueCount="227">
  <si>
    <t xml:space="preserve">KEEP</t>
  </si>
  <si>
    <t xml:space="preserve">query_code</t>
  </si>
  <si>
    <t xml:space="preserve">query_text</t>
  </si>
  <si>
    <t xml:space="preserve">category</t>
  </si>
  <si>
    <t xml:space="preserve">stage</t>
  </si>
  <si>
    <t xml:space="preserve">specificity</t>
  </si>
  <si>
    <t xml:space="preserve">persona</t>
  </si>
  <si>
    <t xml:space="preserve">study_pattern</t>
  </si>
  <si>
    <t xml:space="preserve">subscription_state</t>
  </si>
  <si>
    <t xml:space="preserve">status</t>
  </si>
  <si>
    <t xml:space="preserve">expected_incentive</t>
  </si>
  <si>
    <t xml:space="preserve">soa_focus</t>
  </si>
  <si>
    <t xml:space="preserve">rationale</t>
  </si>
  <si>
    <t xml:space="preserve">y</t>
  </si>
  <si>
    <t xml:space="preserve">BC_AWA_BRD_NFP_01</t>
  </si>
  <si>
    <t xml:space="preserve">my newborn keeps soaking through his diaper every night, what am I doing wrong?</t>
  </si>
  <si>
    <t xml:space="preserve">Baby Care</t>
  </si>
  <si>
    <t xml:space="preserve">Awareness</t>
  </si>
  <si>
    <t xml:space="preserve">Broad</t>
  </si>
  <si>
    <t xml:space="preserve">New / First-Time Parent</t>
  </si>
  <si>
    <t xml:space="preserve">brand_vs_brand</t>
  </si>
  <si>
    <t xml:space="preserve">Active</t>
  </si>
  <si>
    <t xml:space="preserve">Low</t>
  </si>
  <si>
    <t xml:space="preserve">Mention Rate, SoA%</t>
  </si>
  <si>
    <t xml:space="preserve">Problem-recognition entry; tests whether Pampers surfaces unprompted before any brand or price intent.</t>
  </si>
  <si>
    <t xml:space="preserve">BC_AWA_BRD_NFP_02</t>
  </si>
  <si>
    <t xml:space="preserve">how do I figure out what diaper size my baby actually needs?</t>
  </si>
  <si>
    <t xml:space="preserve">Mention Rate</t>
  </si>
  <si>
    <t xml:space="preserve">Sizing-help query; educational intent, no price expected — calibration for the Low flag.</t>
  </si>
  <si>
    <t xml:space="preserve">BC_AWA_BRD_NFP_03</t>
  </si>
  <si>
    <t xml:space="preserve">first-time dad here — what diapers do I even need for a newborn?</t>
  </si>
  <si>
    <t xml:space="preserve">Mention Rate, RSI</t>
  </si>
  <si>
    <t xml:space="preserve">Zero-knowledge stage; tests the agent's default brand recommendation.</t>
  </si>
  <si>
    <t xml:space="preserve">BC_AWA_BRD_SSP_01</t>
  </si>
  <si>
    <t xml:space="preserve">my baby gets a red rash from her diapers, is that normal?</t>
  </si>
  <si>
    <t xml:space="preserve">Sensitive-Skin Baby Parent</t>
  </si>
  <si>
    <t xml:space="preserve">Symptom-driven; whether Pampers (Sensitive/Pure) surfaces as a solution unprompted.</t>
  </si>
  <si>
    <t xml:space="preserve">BC_AWA_BRD_NFP_04</t>
  </si>
  <si>
    <t xml:space="preserve">how many diapers a day does a newborn go through?</t>
  </si>
  <si>
    <t xml:space="preserve">Pure info; price here would be out of place — a clean expectation-Low control.</t>
  </si>
  <si>
    <t xml:space="preserve">BC_AWA_BRD_ECP_01</t>
  </si>
  <si>
    <t xml:space="preserve">are disposable diapers bad for the environment?</t>
  </si>
  <si>
    <t xml:space="preserve">Eco-Conscious Parent</t>
  </si>
  <si>
    <t xml:space="preserve">Values-driven entry; whether eco framing pulls in Pampers Pure vs Honest/Coterie.</t>
  </si>
  <si>
    <t xml:space="preserve">BC_AWA_BRD_NFP_05</t>
  </si>
  <si>
    <t xml:space="preserve">what's the difference between newborn and size 1 diapers?</t>
  </si>
  <si>
    <t xml:space="preserve">Educational; tests brand mention inside a purely informational answer.</t>
  </si>
  <si>
    <t xml:space="preserve">BC_AWA_BRD_SSP_02</t>
  </si>
  <si>
    <t xml:space="preserve">diaper blowouts every morning — how do people deal with this?</t>
  </si>
  <si>
    <t xml:space="preserve">Fit/absorbency problem-solving; no price expected.</t>
  </si>
  <si>
    <t xml:space="preserve">BC_RES_BRD_SSP_03</t>
  </si>
  <si>
    <t xml:space="preserve">what are the gentlest diapers for a baby with really sensitive skin?</t>
  </si>
  <si>
    <t xml:space="preserve">Research</t>
  </si>
  <si>
    <t xml:space="preserve">Core attribute discovery; Pampers Pure/Sensitive vs Huggies Special Delivery/Honest.</t>
  </si>
  <si>
    <t xml:space="preserve">BC_RES_MID_SSP_04</t>
  </si>
  <si>
    <t xml:space="preserve">are 'sensitive' diapers actually different or just marketing?</t>
  </si>
  <si>
    <t xml:space="preserve">Mid</t>
  </si>
  <si>
    <t xml:space="preserve">Skeptical research; tests whether Pampers Pure/Sensitive is named and defended.</t>
  </si>
  <si>
    <t xml:space="preserve">BC_RES_BRD_ECP_02</t>
  </si>
  <si>
    <t xml:space="preserve">what are the most eco-friendly disposable diapers?</t>
  </si>
  <si>
    <t xml:space="preserve">Eco share-of-voice; where Pampers Pure competes with Honest/Coterie/Bambo.</t>
  </si>
  <si>
    <t xml:space="preserve">BC_RES_MID_ECP_03</t>
  </si>
  <si>
    <t xml:space="preserve">which diaper brands are actually free of fragrances and lotions?</t>
  </si>
  <si>
    <t xml:space="preserve">Ingredient-driven; attribute accuracy for Pampers Pure.</t>
  </si>
  <si>
    <t xml:space="preserve">BC_RES_BRD_NFP_06</t>
  </si>
  <si>
    <t xml:space="preserve">what are the best diaper brands for a new baby?</t>
  </si>
  <si>
    <t xml:space="preserve">Mention Rate, SoA%, RSI</t>
  </si>
  <si>
    <t xml:space="preserve">Canonical top-of-research brand discovery; Pampers rank vs Huggies.</t>
  </si>
  <si>
    <t xml:space="preserve">BC_RES_MID_NFP_07</t>
  </si>
  <si>
    <t xml:space="preserve">how do I choose between all the diaper brands out there?</t>
  </si>
  <si>
    <t xml:space="preserve">Decision-framework query; which brands the agent anchors on.</t>
  </si>
  <si>
    <t xml:space="preserve">BC_RES_MID_VCP_01</t>
  </si>
  <si>
    <t xml:space="preserve">are name-brand diapers worth it or should I just buy store brand?</t>
  </si>
  <si>
    <t xml:space="preserve">Value-Conscious Parent</t>
  </si>
  <si>
    <t xml:space="preserve">Mixed</t>
  </si>
  <si>
    <t xml:space="preserve">Mention Rate, Net-Price presence</t>
  </si>
  <si>
    <t xml:space="preserve">First value-vs-cost query; may invite price/value — expectation starts rising.</t>
  </si>
  <si>
    <t xml:space="preserve">BC_RES_MID_VCP_02</t>
  </si>
  <si>
    <t xml:space="preserve">how much should I actually expect to spend on diapers each month?</t>
  </si>
  <si>
    <t xml:space="preserve">Net-Price presence, Deal Citation</t>
  </si>
  <si>
    <t xml:space="preserve">Budget framing; does the agent volunteer price / cost-per-diaper.</t>
  </si>
  <si>
    <t xml:space="preserve">BC_RES_MID_SSP_05</t>
  </si>
  <si>
    <t xml:space="preserve">best overnight diapers for a heavy wetter?</t>
  </si>
  <si>
    <t xml:space="preserve">Use-case attribute; Pampers Baby-Dry/Overnights vs Huggies Overnites.</t>
  </si>
  <si>
    <t xml:space="preserve">BC_RES_BRD_ECP_04</t>
  </si>
  <si>
    <t xml:space="preserve">are there diapers that are better for babies with allergies?</t>
  </si>
  <si>
    <t xml:space="preserve">Health-attribute overlapping eco/sensitive; tests Pampers Pure surfacing.</t>
  </si>
  <si>
    <t xml:space="preserve">BC_RES_MID_NFP_08</t>
  </si>
  <si>
    <t xml:space="preserve">what should I look for when comparing diaper brands?</t>
  </si>
  <si>
    <t xml:space="preserve">Criteria query; whether price/value is even named as a criterion by the agent.</t>
  </si>
  <si>
    <t xml:space="preserve">BC_RES_MID_VCP_03</t>
  </si>
  <si>
    <t xml:space="preserve">is it cheaper to use cloth or disposable diapers in the long run?</t>
  </si>
  <si>
    <t xml:space="preserve">Net-Price presence</t>
  </si>
  <si>
    <t xml:space="preserve">Cost-framing research; expectation of cost math rising.</t>
  </si>
  <si>
    <t xml:space="preserve">BC_CMP_MID_SSP_06</t>
  </si>
  <si>
    <t xml:space="preserve">Pampers Swaddlers vs Pampers Pure for sensitive skin — is the upgrade worth it?</t>
  </si>
  <si>
    <t xml:space="preserve">Comparison</t>
  </si>
  <si>
    <t xml:space="preserve">RSI, Net-Price presence</t>
  </si>
  <si>
    <t xml:space="preserve">Sub-line comparison with an implicit value question ('worth it').</t>
  </si>
  <si>
    <t xml:space="preserve">BC_CMP_MID_VCP_04</t>
  </si>
  <si>
    <t xml:space="preserve">are Pampers or Huggies a better deal for the money?</t>
  </si>
  <si>
    <t xml:space="preserve">High</t>
  </si>
  <si>
    <t xml:space="preserve">Explicit value head-to-head — the core money-zone query.</t>
  </si>
  <si>
    <t xml:space="preserve">BC_CMP_MID_SSP_07</t>
  </si>
  <si>
    <t xml:space="preserve">Pampers vs Huggies for a baby with sensitive skin and frequent rashes?</t>
  </si>
  <si>
    <t xml:space="preserve">RSI, Mention Rate</t>
  </si>
  <si>
    <t xml:space="preserve">Attribute head-to-head; does price sneak in or stay attribute-only.</t>
  </si>
  <si>
    <t xml:space="preserve">BC_CMP_MID_VCP_05</t>
  </si>
  <si>
    <t xml:space="preserve">which diaper brand gives you the most diapers for your money?</t>
  </si>
  <si>
    <t xml:space="preserve">Value-per-unit; clearly expects cost-per-diaper math.</t>
  </si>
  <si>
    <t xml:space="preserve">BC_CMP_MID_NFP_09</t>
  </si>
  <si>
    <t xml:space="preserve">Pampers Swaddlers vs Huggies Little Snugglers — which do parents prefer?</t>
  </si>
  <si>
    <t xml:space="preserve">RSI, SoA%</t>
  </si>
  <si>
    <t xml:space="preserve">Classic preference head-to-head; value optional.</t>
  </si>
  <si>
    <t xml:space="preserve">BC_CMP_MID_ECP_05</t>
  </si>
  <si>
    <t xml:space="preserve">Pampers Pure vs Honest Company diapers — which is better and cheaper?</t>
  </si>
  <si>
    <t xml:space="preserve">Net-Price presence, RSI</t>
  </si>
  <si>
    <t xml:space="preserve">Eco head-to-head with an explicit 'cheaper' — price expected.</t>
  </si>
  <si>
    <t xml:space="preserve">BC_CMP_MID_SRP_01</t>
  </si>
  <si>
    <t xml:space="preserve">is it worth subscribing to diapers or just buying them as I go?</t>
  </si>
  <si>
    <t xml:space="preserve">Subscription / Replenishment Parent</t>
  </si>
  <si>
    <t xml:space="preserve">brand_at_retail</t>
  </si>
  <si>
    <t xml:space="preserve">not_subscribed</t>
  </si>
  <si>
    <t xml:space="preserve">Subscription-offer presence, Net-Price presence</t>
  </si>
  <si>
    <t xml:space="preserve">Subscription-value question; expects S&amp;S / auto-ship economics.</t>
  </si>
  <si>
    <t xml:space="preserve">BC_CMP_MID_VCP_06</t>
  </si>
  <si>
    <t xml:space="preserve">are the big Costco boxes of diapers actually cheaper than Pampers on Amazon?</t>
  </si>
  <si>
    <t xml:space="preserve">Cross-retailer value; expects a real price comparison.</t>
  </si>
  <si>
    <t xml:space="preserve">BC_CMP_MID_SSP_08</t>
  </si>
  <si>
    <t xml:space="preserve">Pampers Sensitive vs Huggies Special Delivery for eczema-prone skin?</t>
  </si>
  <si>
    <t xml:space="preserve">Premium-sensitive head-to-head; attribute-led, value secondary.</t>
  </si>
  <si>
    <t xml:space="preserve">BC_CMP_MID_NFP_10</t>
  </si>
  <si>
    <t xml:space="preserve">what's the difference between Pampers Swaddlers, Baby-Dry, and Cruisers?</t>
  </si>
  <si>
    <t xml:space="preserve">Within-brand line education; expectation-Low even at Comparison — a calibration point.</t>
  </si>
  <si>
    <t xml:space="preserve">BC_CMP_MID_VCP_07</t>
  </si>
  <si>
    <t xml:space="preserve">generic vs Pampers diapers — is the price difference worth the quality?</t>
  </si>
  <si>
    <t xml:space="preserve">Value-vs-quality; explicitly invokes the price difference.</t>
  </si>
  <si>
    <t xml:space="preserve">BC_CMP_MID_ECP_06</t>
  </si>
  <si>
    <t xml:space="preserve">which is the better value, Pampers Pure or Coterie?</t>
  </si>
  <si>
    <t xml:space="preserve">Premium-eco value comparison; expects price context.</t>
  </si>
  <si>
    <t xml:space="preserve">BC_CMP_MID_SRP_02</t>
  </si>
  <si>
    <t xml:space="preserve">is Amazon Subscribe &amp; Save or Target's diaper deals a better way to save on Pampers?</t>
  </si>
  <si>
    <t xml:space="preserve">Subscription-offer presence, Deal Citation, Member-price presence</t>
  </si>
  <si>
    <t xml:space="preserve">Program-vs-program value; directly targets incentive surfacing.</t>
  </si>
  <si>
    <t xml:space="preserve">BC_CMP_MID_SSP_09</t>
  </si>
  <si>
    <t xml:space="preserve">do more expensive diapers actually prevent diaper rash better?</t>
  </si>
  <si>
    <t xml:space="preserve">Price-quality attribute; genuinely mixed expectation.</t>
  </si>
  <si>
    <t xml:space="preserve">BC_CMP_MID_VCP_08</t>
  </si>
  <si>
    <t xml:space="preserve">how do I compare the real cost per diaper between brands?</t>
  </si>
  <si>
    <t xml:space="preserve">Cost-per-unit method; strongly expects price math.</t>
  </si>
  <si>
    <t xml:space="preserve">BC_CMP_MID_NFP_11</t>
  </si>
  <si>
    <t xml:space="preserve">everyone recommends Pampers or Huggies — how do I actually pick?</t>
  </si>
  <si>
    <t xml:space="preserve">Tie-breaker; whether value is offered as the deciding factor.</t>
  </si>
  <si>
    <t xml:space="preserve">BC_CMP_MID_ECP_07</t>
  </si>
  <si>
    <t xml:space="preserve">are eco-friendly diapers like Pampers Pure a lot more expensive than regular ones?</t>
  </si>
  <si>
    <t xml:space="preserve">Eco price-premium; expects a price delta.</t>
  </si>
  <si>
    <t xml:space="preserve">BC_CMP_MID_SRP_03</t>
  </si>
  <si>
    <t xml:space="preserve">if I set up auto-delivery for Pampers, do I actually save money?</t>
  </si>
  <si>
    <t xml:space="preserve">Subscription payoff; expects the S&amp;S discount surfaced.</t>
  </si>
  <si>
    <t xml:space="preserve">BC_RTB_NAR_VCP_09</t>
  </si>
  <si>
    <t xml:space="preserve">cheapest place to buy Pampers Swaddlers size 3 right now?</t>
  </si>
  <si>
    <t xml:space="preserve">Ready to Buy</t>
  </si>
  <si>
    <t xml:space="preserve">Narrow</t>
  </si>
  <si>
    <t xml:space="preserve">Canonical price-seeking; expects retailer + price.</t>
  </si>
  <si>
    <t xml:space="preserve">BC_RTB_NAR_SRP_04</t>
  </si>
  <si>
    <t xml:space="preserve">is it cheaper to subscribe to Pampers on Amazon or just buy them at Target?</t>
  </si>
  <si>
    <t xml:space="preserve">Subscription-offer presence, Net-Price presence, Member-price presence</t>
  </si>
  <si>
    <t xml:space="preserve">Cross-retailer subscription value — the exact gap from the case study.</t>
  </si>
  <si>
    <t xml:space="preserve">BC_RTB_NAR_VCP_10</t>
  </si>
  <si>
    <t xml:space="preserve">any good deals or coupons on Pampers Swaddlers this week?</t>
  </si>
  <si>
    <t xml:space="preserve">Deal Citation, Net-Price presence</t>
  </si>
  <si>
    <t xml:space="preserve">Coupon-seeking; directly tests deal_cited.</t>
  </si>
  <si>
    <t xml:space="preserve">BC_RTB_NAR_SRP_05</t>
  </si>
  <si>
    <t xml:space="preserve">how much do I save with Subscribe &amp; Save on Pampers Pure?</t>
  </si>
  <si>
    <t xml:space="preserve">subscribed</t>
  </si>
  <si>
    <t xml:space="preserve">Quantified S&amp;S expectation.</t>
  </si>
  <si>
    <t xml:space="preserve">BC_RTB_NAR_VCP_11</t>
  </si>
  <si>
    <t xml:space="preserve">where can I get the best price on a big box of Pampers size 4?</t>
  </si>
  <si>
    <t xml:space="preserve">Bulk price-seeking; expects retailer + per-unit.</t>
  </si>
  <si>
    <t xml:space="preserve">BC_RTB_NAR_SRP_06</t>
  </si>
  <si>
    <t xml:space="preserve">does Target Circle or Walmart give a better deal on Pampers?</t>
  </si>
  <si>
    <t xml:space="preserve">Member-price presence, Deal Citation</t>
  </si>
  <si>
    <t xml:space="preserve">Loyalty-program value — tests member-price surfacing (the layer agents miss).</t>
  </si>
  <si>
    <t xml:space="preserve">BC_RTB_NAR_VCP_12</t>
  </si>
  <si>
    <t xml:space="preserve">is there a discount if I buy Pampers in bulk?</t>
  </si>
  <si>
    <t xml:space="preserve">Basket/bulk discount; tests basket-deal surfacing (the Target $30-GC type).</t>
  </si>
  <si>
    <t xml:space="preserve">BC_RTB_NAR_SSP_10</t>
  </si>
  <si>
    <t xml:space="preserve">cheapest place to buy Pampers Sensitive size 2?</t>
  </si>
  <si>
    <t xml:space="preserve">Sensitive-SKU price-seeking; attribute + price combined.</t>
  </si>
  <si>
    <t xml:space="preserve">BC_RTB_NAR_VCP_13</t>
  </si>
  <si>
    <t xml:space="preserve">what's the current price of Pampers Swaddlers 164 count at Walmart?</t>
  </si>
  <si>
    <t xml:space="preserve">Exact-SKU price lookup — the Walmart control case (should surface correctly).</t>
  </si>
  <si>
    <t xml:space="preserve">BC_RTB_NAR_SRP_07</t>
  </si>
  <si>
    <t xml:space="preserve">set me up with the cheapest recurring diaper delivery for Pampers</t>
  </si>
  <si>
    <t xml:space="preserve">Action-oriented subscription; expects auto-ship pricing.</t>
  </si>
  <si>
    <t xml:space="preserve">BC_RTB_NAR_VCP_14</t>
  </si>
  <si>
    <t xml:space="preserve">are Pampers cheaper on Amazon or at Target today?</t>
  </si>
  <si>
    <t xml:space="preserve">Cross-retailer spot price; expects a live comparison.</t>
  </si>
  <si>
    <t xml:space="preserve">BC_RTB_NAR_ECP_08</t>
  </si>
  <si>
    <t xml:space="preserve">best price on Pampers Pure size 1?</t>
  </si>
  <si>
    <t xml:space="preserve">Eco-SKU price-seeking.</t>
  </si>
  <si>
    <t xml:space="preserve">BC_RTB_NAR_VCP_15</t>
  </si>
  <si>
    <t xml:space="preserve">how much is a month's supply of Pampers for a size 3 baby?</t>
  </si>
  <si>
    <t xml:space="preserve">Cost-to-replenish; expects total / monthly math.</t>
  </si>
  <si>
    <t xml:space="preserve">BC_RTB_NAR_SRP_08</t>
  </si>
  <si>
    <t xml:space="preserve">if I subscribe to Pampers, can I still use coupons on top?</t>
  </si>
  <si>
    <t xml:space="preserve">Deal Citation, Subscription-offer presence</t>
  </si>
  <si>
    <t xml:space="preserve">Stacking question; tests whether the agent understands combined incentives.</t>
  </si>
  <si>
    <t xml:space="preserve">BC_RTB_NAR_VCP_16</t>
  </si>
  <si>
    <t xml:space="preserve">which store has Pampers on sale right now?</t>
  </si>
  <si>
    <t xml:space="preserve">Deal Citation</t>
  </si>
  <si>
    <t xml:space="preserve">Promo-seeking; tests real-time deal surfacing.</t>
  </si>
  <si>
    <t xml:space="preserve">BC_RTB_NAR_SRP_09</t>
  </si>
  <si>
    <t xml:space="preserve">best Prime Day deals on Pampers diapers?</t>
  </si>
  <si>
    <t xml:space="preserve">Tent-pole event query (the small event block Bryan flagged).</t>
  </si>
  <si>
    <t xml:space="preserve">BC_RTB_NAR_VCP_17</t>
  </si>
  <si>
    <t xml:space="preserve">any Black Friday deals coming up on Pampers?</t>
  </si>
  <si>
    <t xml:space="preserve">Second tent-pole query; event-window promo expectation.</t>
  </si>
  <si>
    <t xml:space="preserve">Baby Care — Persona / Funnel Price-Promo-Expectation Study</t>
  </si>
  <si>
    <t xml:space="preserve">Query set for review. Set KEEP=n on the Queries tab to cut a row; counts below update live.</t>
  </si>
  <si>
    <t xml:space="preserve">By funnel stage</t>
  </si>
  <si>
    <t xml:space="preserve">Value</t>
  </si>
  <si>
    <t xml:space="preserve">All</t>
  </si>
  <si>
    <t xml:space="preserve">Kept</t>
  </si>
  <si>
    <t xml:space="preserve">Total</t>
  </si>
  <si>
    <t xml:space="preserve">By expected-incentive</t>
  </si>
  <si>
    <t xml:space="preserve">By persona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</si>
</sst>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1F7A4D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7A8791"/>
      <name val="Arial"/>
      <family val="0"/>
      <charset val="1"/>
    </font>
    <font>
      <b val="true"/>
      <sz val="10"/>
      <color rgb="FFB4791F"/>
      <name val="Arial"/>
      <family val="0"/>
      <charset val="1"/>
    </font>
    <font>
      <b val="true"/>
      <sz val="13"/>
      <color rgb="FF0E7C74"/>
      <name val="Arial"/>
      <family val="0"/>
      <charset val="1"/>
    </font>
    <font>
      <i val="true"/>
      <sz val="10"/>
      <color rgb="FF5E6E7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E7C74"/>
        <bgColor rgb="FF1F7A4D"/>
      </patternFill>
    </fill>
    <fill>
      <patternFill patternType="solid">
        <fgColor rgb="FFEEF2F5"/>
        <bgColor rgb="FFEAF3EC"/>
      </patternFill>
    </fill>
    <fill>
      <patternFill patternType="solid">
        <fgColor rgb="FFE7F1EF"/>
        <bgColor rgb="FFEAF3EC"/>
      </patternFill>
    </fill>
    <fill>
      <patternFill patternType="solid">
        <fgColor rgb="FFFBF3E6"/>
        <bgColor rgb="FFEEF2F5"/>
      </patternFill>
    </fill>
    <fill>
      <patternFill patternType="solid">
        <fgColor rgb="FFEAF3EC"/>
        <bgColor rgb="FFE7F1E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>
        <color rgb="FFD9DEE2"/>
      </right>
      <top/>
      <bottom style="thin">
        <color rgb="FFD9DE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E7C74"/>
          <bgColor rgb="FF000000"/>
        </patternFill>
      </fill>
    </dxf>
    <dxf>
      <fill>
        <patternFill patternType="solid">
          <fgColor rgb="FFE7F1EF"/>
          <bgColor rgb="FF000000"/>
        </patternFill>
      </fill>
    </dxf>
    <dxf>
      <fill>
        <patternFill patternType="solid">
          <fgColor rgb="FFEAF3EC"/>
          <bgColor rgb="FF000000"/>
        </patternFill>
      </fill>
    </dxf>
    <dxf>
      <fill>
        <patternFill patternType="solid">
          <fgColor rgb="FFEEF2F5"/>
          <bgColor rgb="FF000000"/>
        </patternFill>
      </fill>
    </dxf>
    <dxf>
      <fill>
        <patternFill patternType="solid">
          <fgColor rgb="FFFBF3E6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A8791"/>
          <bgColor rgb="FF000000"/>
        </patternFill>
      </fill>
    </dxf>
    <dxf>
      <fill>
        <patternFill patternType="solid">
          <fgColor rgb="FFB4791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791F"/>
      <rgbColor rgb="FF800080"/>
      <rgbColor rgb="FF0E7C74"/>
      <rgbColor rgb="FFC0C0C0"/>
      <rgbColor rgb="FF7A8791"/>
      <rgbColor rgb="FF9999FF"/>
      <rgbColor rgb="FF993366"/>
      <rgbColor rgb="FFFBF3E6"/>
      <rgbColor rgb="FFE7F1EF"/>
      <rgbColor rgb="FF660066"/>
      <rgbColor rgb="FFFF8080"/>
      <rgbColor rgb="FF0066CC"/>
      <rgbColor rgb="FFD9DEE2"/>
      <rgbColor rgb="FF000080"/>
      <rgbColor rgb="FFFF00FF"/>
      <rgbColor rgb="FFFFFF00"/>
      <rgbColor rgb="FF00FFFF"/>
      <rgbColor rgb="FF800080"/>
      <rgbColor rgb="FF800000"/>
      <rgbColor rgb="FF1F7A4D"/>
      <rgbColor rgb="FF0000FF"/>
      <rgbColor rgb="FF00CCFF"/>
      <rgbColor rgb="FFEAF3EC"/>
      <rgbColor rgb="FFEEF2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6E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5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9"/>
    <col collapsed="false" customWidth="true" hidden="false" outlineLevel="0" max="11" min="11" style="0" width="16"/>
    <col collapsed="false" customWidth="true" hidden="false" outlineLevel="0" max="12" min="12" style="0" width="30"/>
    <col collapsed="false" customWidth="true" hidden="false" outlineLevel="0" max="13" min="13" style="0" width="5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3.85" hidden="false" customHeight="false" outlineLevel="0" collapsed="false">
      <c r="A2" s="2" t="s">
        <v>13</v>
      </c>
      <c r="B2" s="3" t="s">
        <v>14</v>
      </c>
      <c r="C2" s="4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/>
      <c r="J2" s="3" t="s">
        <v>21</v>
      </c>
      <c r="K2" s="5" t="s">
        <v>22</v>
      </c>
      <c r="L2" s="3" t="s">
        <v>23</v>
      </c>
      <c r="M2" s="4" t="s">
        <v>24</v>
      </c>
    </row>
    <row r="3" customFormat="false" ht="23.85" hidden="false" customHeight="false" outlineLevel="0" collapsed="false">
      <c r="A3" s="2" t="s">
        <v>13</v>
      </c>
      <c r="B3" s="3" t="s">
        <v>25</v>
      </c>
      <c r="C3" s="4" t="s">
        <v>26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/>
      <c r="J3" s="3" t="s">
        <v>21</v>
      </c>
      <c r="K3" s="5" t="s">
        <v>22</v>
      </c>
      <c r="L3" s="3" t="s">
        <v>27</v>
      </c>
      <c r="M3" s="4" t="s">
        <v>28</v>
      </c>
    </row>
    <row r="4" customFormat="false" ht="23.85" hidden="false" customHeight="false" outlineLevel="0" collapsed="false">
      <c r="A4" s="2" t="s">
        <v>13</v>
      </c>
      <c r="B4" s="3" t="s">
        <v>29</v>
      </c>
      <c r="C4" s="4" t="s">
        <v>30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/>
      <c r="J4" s="3" t="s">
        <v>21</v>
      </c>
      <c r="K4" s="5" t="s">
        <v>22</v>
      </c>
      <c r="L4" s="3" t="s">
        <v>31</v>
      </c>
      <c r="M4" s="4" t="s">
        <v>32</v>
      </c>
    </row>
    <row r="5" customFormat="false" ht="23.85" hidden="false" customHeight="false" outlineLevel="0" collapsed="false">
      <c r="A5" s="2" t="s">
        <v>13</v>
      </c>
      <c r="B5" s="3" t="s">
        <v>33</v>
      </c>
      <c r="C5" s="4" t="s">
        <v>34</v>
      </c>
      <c r="D5" s="3" t="s">
        <v>16</v>
      </c>
      <c r="E5" s="3" t="s">
        <v>17</v>
      </c>
      <c r="F5" s="3" t="s">
        <v>18</v>
      </c>
      <c r="G5" s="3" t="s">
        <v>35</v>
      </c>
      <c r="H5" s="3" t="s">
        <v>20</v>
      </c>
      <c r="I5" s="3"/>
      <c r="J5" s="3" t="s">
        <v>21</v>
      </c>
      <c r="K5" s="5" t="s">
        <v>22</v>
      </c>
      <c r="L5" s="3" t="s">
        <v>23</v>
      </c>
      <c r="M5" s="4" t="s">
        <v>36</v>
      </c>
    </row>
    <row r="6" customFormat="false" ht="23.85" hidden="false" customHeight="false" outlineLevel="0" collapsed="false">
      <c r="A6" s="2" t="s">
        <v>13</v>
      </c>
      <c r="B6" s="3" t="s">
        <v>37</v>
      </c>
      <c r="C6" s="4" t="s">
        <v>38</v>
      </c>
      <c r="D6" s="3" t="s">
        <v>16</v>
      </c>
      <c r="E6" s="3" t="s">
        <v>17</v>
      </c>
      <c r="F6" s="3" t="s">
        <v>18</v>
      </c>
      <c r="G6" s="3" t="s">
        <v>19</v>
      </c>
      <c r="H6" s="3" t="s">
        <v>20</v>
      </c>
      <c r="I6" s="3"/>
      <c r="J6" s="3" t="s">
        <v>21</v>
      </c>
      <c r="K6" s="5" t="s">
        <v>22</v>
      </c>
      <c r="L6" s="3" t="s">
        <v>27</v>
      </c>
      <c r="M6" s="4" t="s">
        <v>39</v>
      </c>
    </row>
    <row r="7" customFormat="false" ht="23.85" hidden="false" customHeight="false" outlineLevel="0" collapsed="false">
      <c r="A7" s="2" t="s">
        <v>13</v>
      </c>
      <c r="B7" s="3" t="s">
        <v>40</v>
      </c>
      <c r="C7" s="4" t="s">
        <v>41</v>
      </c>
      <c r="D7" s="3" t="s">
        <v>16</v>
      </c>
      <c r="E7" s="3" t="s">
        <v>17</v>
      </c>
      <c r="F7" s="3" t="s">
        <v>18</v>
      </c>
      <c r="G7" s="3" t="s">
        <v>42</v>
      </c>
      <c r="H7" s="3" t="s">
        <v>20</v>
      </c>
      <c r="I7" s="3"/>
      <c r="J7" s="3" t="s">
        <v>21</v>
      </c>
      <c r="K7" s="5" t="s">
        <v>22</v>
      </c>
      <c r="L7" s="3" t="s">
        <v>23</v>
      </c>
      <c r="M7" s="4" t="s">
        <v>43</v>
      </c>
    </row>
    <row r="8" customFormat="false" ht="23.85" hidden="false" customHeight="false" outlineLevel="0" collapsed="false">
      <c r="A8" s="2" t="s">
        <v>13</v>
      </c>
      <c r="B8" s="3" t="s">
        <v>44</v>
      </c>
      <c r="C8" s="4" t="s">
        <v>45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20</v>
      </c>
      <c r="I8" s="3"/>
      <c r="J8" s="3" t="s">
        <v>21</v>
      </c>
      <c r="K8" s="5" t="s">
        <v>22</v>
      </c>
      <c r="L8" s="3" t="s">
        <v>27</v>
      </c>
      <c r="M8" s="4" t="s">
        <v>46</v>
      </c>
    </row>
    <row r="9" customFormat="false" ht="15" hidden="false" customHeight="false" outlineLevel="0" collapsed="false">
      <c r="A9" s="2" t="s">
        <v>13</v>
      </c>
      <c r="B9" s="3" t="s">
        <v>47</v>
      </c>
      <c r="C9" s="4" t="s">
        <v>48</v>
      </c>
      <c r="D9" s="3" t="s">
        <v>16</v>
      </c>
      <c r="E9" s="3" t="s">
        <v>17</v>
      </c>
      <c r="F9" s="3" t="s">
        <v>18</v>
      </c>
      <c r="G9" s="3" t="s">
        <v>35</v>
      </c>
      <c r="H9" s="3" t="s">
        <v>20</v>
      </c>
      <c r="I9" s="3"/>
      <c r="J9" s="3" t="s">
        <v>21</v>
      </c>
      <c r="K9" s="5" t="s">
        <v>22</v>
      </c>
      <c r="L9" s="3" t="s">
        <v>31</v>
      </c>
      <c r="M9" s="4" t="s">
        <v>49</v>
      </c>
    </row>
    <row r="10" customFormat="false" ht="23.85" hidden="false" customHeight="false" outlineLevel="0" collapsed="false">
      <c r="A10" s="6" t="s">
        <v>13</v>
      </c>
      <c r="B10" s="7" t="s">
        <v>50</v>
      </c>
      <c r="C10" s="8" t="s">
        <v>51</v>
      </c>
      <c r="D10" s="7" t="s">
        <v>16</v>
      </c>
      <c r="E10" s="7" t="s">
        <v>52</v>
      </c>
      <c r="F10" s="7" t="s">
        <v>18</v>
      </c>
      <c r="G10" s="7" t="s">
        <v>35</v>
      </c>
      <c r="H10" s="7" t="s">
        <v>20</v>
      </c>
      <c r="I10" s="7"/>
      <c r="J10" s="7" t="s">
        <v>21</v>
      </c>
      <c r="K10" s="9" t="s">
        <v>22</v>
      </c>
      <c r="L10" s="7" t="s">
        <v>31</v>
      </c>
      <c r="M10" s="8" t="s">
        <v>53</v>
      </c>
    </row>
    <row r="11" customFormat="false" ht="23.85" hidden="false" customHeight="false" outlineLevel="0" collapsed="false">
      <c r="A11" s="6" t="s">
        <v>13</v>
      </c>
      <c r="B11" s="7" t="s">
        <v>54</v>
      </c>
      <c r="C11" s="8" t="s">
        <v>55</v>
      </c>
      <c r="D11" s="7" t="s">
        <v>16</v>
      </c>
      <c r="E11" s="7" t="s">
        <v>52</v>
      </c>
      <c r="F11" s="7" t="s">
        <v>56</v>
      </c>
      <c r="G11" s="7" t="s">
        <v>35</v>
      </c>
      <c r="H11" s="7" t="s">
        <v>20</v>
      </c>
      <c r="I11" s="7"/>
      <c r="J11" s="7" t="s">
        <v>21</v>
      </c>
      <c r="K11" s="9" t="s">
        <v>22</v>
      </c>
      <c r="L11" s="7" t="s">
        <v>23</v>
      </c>
      <c r="M11" s="8" t="s">
        <v>57</v>
      </c>
    </row>
    <row r="12" customFormat="false" ht="23.85" hidden="false" customHeight="false" outlineLevel="0" collapsed="false">
      <c r="A12" s="6" t="s">
        <v>13</v>
      </c>
      <c r="B12" s="7" t="s">
        <v>58</v>
      </c>
      <c r="C12" s="8" t="s">
        <v>59</v>
      </c>
      <c r="D12" s="7" t="s">
        <v>16</v>
      </c>
      <c r="E12" s="7" t="s">
        <v>52</v>
      </c>
      <c r="F12" s="7" t="s">
        <v>18</v>
      </c>
      <c r="G12" s="7" t="s">
        <v>42</v>
      </c>
      <c r="H12" s="7" t="s">
        <v>20</v>
      </c>
      <c r="I12" s="7"/>
      <c r="J12" s="7" t="s">
        <v>21</v>
      </c>
      <c r="K12" s="9" t="s">
        <v>22</v>
      </c>
      <c r="L12" s="7" t="s">
        <v>23</v>
      </c>
      <c r="M12" s="8" t="s">
        <v>60</v>
      </c>
    </row>
    <row r="13" customFormat="false" ht="15" hidden="false" customHeight="false" outlineLevel="0" collapsed="false">
      <c r="A13" s="6" t="s">
        <v>13</v>
      </c>
      <c r="B13" s="7" t="s">
        <v>61</v>
      </c>
      <c r="C13" s="8" t="s">
        <v>62</v>
      </c>
      <c r="D13" s="7" t="s">
        <v>16</v>
      </c>
      <c r="E13" s="7" t="s">
        <v>52</v>
      </c>
      <c r="F13" s="7" t="s">
        <v>56</v>
      </c>
      <c r="G13" s="7" t="s">
        <v>42</v>
      </c>
      <c r="H13" s="7" t="s">
        <v>20</v>
      </c>
      <c r="I13" s="7"/>
      <c r="J13" s="7" t="s">
        <v>21</v>
      </c>
      <c r="K13" s="9" t="s">
        <v>22</v>
      </c>
      <c r="L13" s="7" t="s">
        <v>31</v>
      </c>
      <c r="M13" s="8" t="s">
        <v>63</v>
      </c>
    </row>
    <row r="14" customFormat="false" ht="23.85" hidden="false" customHeight="false" outlineLevel="0" collapsed="false">
      <c r="A14" s="6" t="s">
        <v>13</v>
      </c>
      <c r="B14" s="7" t="s">
        <v>64</v>
      </c>
      <c r="C14" s="8" t="s">
        <v>65</v>
      </c>
      <c r="D14" s="7" t="s">
        <v>16</v>
      </c>
      <c r="E14" s="7" t="s">
        <v>52</v>
      </c>
      <c r="F14" s="7" t="s">
        <v>18</v>
      </c>
      <c r="G14" s="7" t="s">
        <v>19</v>
      </c>
      <c r="H14" s="7" t="s">
        <v>20</v>
      </c>
      <c r="I14" s="7"/>
      <c r="J14" s="7" t="s">
        <v>21</v>
      </c>
      <c r="K14" s="9" t="s">
        <v>22</v>
      </c>
      <c r="L14" s="7" t="s">
        <v>66</v>
      </c>
      <c r="M14" s="8" t="s">
        <v>67</v>
      </c>
    </row>
    <row r="15" customFormat="false" ht="23.85" hidden="false" customHeight="false" outlineLevel="0" collapsed="false">
      <c r="A15" s="6" t="s">
        <v>13</v>
      </c>
      <c r="B15" s="7" t="s">
        <v>68</v>
      </c>
      <c r="C15" s="8" t="s">
        <v>69</v>
      </c>
      <c r="D15" s="7" t="s">
        <v>16</v>
      </c>
      <c r="E15" s="7" t="s">
        <v>52</v>
      </c>
      <c r="F15" s="7" t="s">
        <v>56</v>
      </c>
      <c r="G15" s="7" t="s">
        <v>19</v>
      </c>
      <c r="H15" s="7" t="s">
        <v>20</v>
      </c>
      <c r="I15" s="7"/>
      <c r="J15" s="7" t="s">
        <v>21</v>
      </c>
      <c r="K15" s="9" t="s">
        <v>22</v>
      </c>
      <c r="L15" s="7" t="s">
        <v>31</v>
      </c>
      <c r="M15" s="8" t="s">
        <v>70</v>
      </c>
    </row>
    <row r="16" customFormat="false" ht="23.85" hidden="false" customHeight="false" outlineLevel="0" collapsed="false">
      <c r="A16" s="6" t="s">
        <v>13</v>
      </c>
      <c r="B16" s="7" t="s">
        <v>71</v>
      </c>
      <c r="C16" s="8" t="s">
        <v>72</v>
      </c>
      <c r="D16" s="7" t="s">
        <v>16</v>
      </c>
      <c r="E16" s="7" t="s">
        <v>52</v>
      </c>
      <c r="F16" s="7" t="s">
        <v>56</v>
      </c>
      <c r="G16" s="7" t="s">
        <v>73</v>
      </c>
      <c r="H16" s="7" t="s">
        <v>20</v>
      </c>
      <c r="I16" s="7"/>
      <c r="J16" s="7" t="s">
        <v>21</v>
      </c>
      <c r="K16" s="10" t="s">
        <v>74</v>
      </c>
      <c r="L16" s="7" t="s">
        <v>75</v>
      </c>
      <c r="M16" s="8" t="s">
        <v>76</v>
      </c>
    </row>
    <row r="17" customFormat="false" ht="23.85" hidden="false" customHeight="false" outlineLevel="0" collapsed="false">
      <c r="A17" s="6" t="s">
        <v>13</v>
      </c>
      <c r="B17" s="7" t="s">
        <v>77</v>
      </c>
      <c r="C17" s="8" t="s">
        <v>78</v>
      </c>
      <c r="D17" s="7" t="s">
        <v>16</v>
      </c>
      <c r="E17" s="7" t="s">
        <v>52</v>
      </c>
      <c r="F17" s="7" t="s">
        <v>56</v>
      </c>
      <c r="G17" s="7" t="s">
        <v>73</v>
      </c>
      <c r="H17" s="7" t="s">
        <v>20</v>
      </c>
      <c r="I17" s="7"/>
      <c r="J17" s="7" t="s">
        <v>21</v>
      </c>
      <c r="K17" s="10" t="s">
        <v>74</v>
      </c>
      <c r="L17" s="7" t="s">
        <v>79</v>
      </c>
      <c r="M17" s="8" t="s">
        <v>80</v>
      </c>
    </row>
    <row r="18" customFormat="false" ht="23.85" hidden="false" customHeight="false" outlineLevel="0" collapsed="false">
      <c r="A18" s="6" t="s">
        <v>13</v>
      </c>
      <c r="B18" s="7" t="s">
        <v>81</v>
      </c>
      <c r="C18" s="8" t="s">
        <v>82</v>
      </c>
      <c r="D18" s="7" t="s">
        <v>16</v>
      </c>
      <c r="E18" s="7" t="s">
        <v>52</v>
      </c>
      <c r="F18" s="7" t="s">
        <v>56</v>
      </c>
      <c r="G18" s="7" t="s">
        <v>35</v>
      </c>
      <c r="H18" s="7" t="s">
        <v>20</v>
      </c>
      <c r="I18" s="7"/>
      <c r="J18" s="7" t="s">
        <v>21</v>
      </c>
      <c r="K18" s="9" t="s">
        <v>22</v>
      </c>
      <c r="L18" s="7" t="s">
        <v>31</v>
      </c>
      <c r="M18" s="8" t="s">
        <v>83</v>
      </c>
    </row>
    <row r="19" customFormat="false" ht="23.85" hidden="false" customHeight="false" outlineLevel="0" collapsed="false">
      <c r="A19" s="6" t="s">
        <v>13</v>
      </c>
      <c r="B19" s="7" t="s">
        <v>84</v>
      </c>
      <c r="C19" s="8" t="s">
        <v>85</v>
      </c>
      <c r="D19" s="7" t="s">
        <v>16</v>
      </c>
      <c r="E19" s="7" t="s">
        <v>52</v>
      </c>
      <c r="F19" s="7" t="s">
        <v>18</v>
      </c>
      <c r="G19" s="7" t="s">
        <v>42</v>
      </c>
      <c r="H19" s="7" t="s">
        <v>20</v>
      </c>
      <c r="I19" s="7"/>
      <c r="J19" s="7" t="s">
        <v>21</v>
      </c>
      <c r="K19" s="9" t="s">
        <v>22</v>
      </c>
      <c r="L19" s="7" t="s">
        <v>23</v>
      </c>
      <c r="M19" s="8" t="s">
        <v>86</v>
      </c>
    </row>
    <row r="20" customFormat="false" ht="23.85" hidden="false" customHeight="false" outlineLevel="0" collapsed="false">
      <c r="A20" s="6" t="s">
        <v>13</v>
      </c>
      <c r="B20" s="7" t="s">
        <v>87</v>
      </c>
      <c r="C20" s="8" t="s">
        <v>88</v>
      </c>
      <c r="D20" s="7" t="s">
        <v>16</v>
      </c>
      <c r="E20" s="7" t="s">
        <v>52</v>
      </c>
      <c r="F20" s="7" t="s">
        <v>56</v>
      </c>
      <c r="G20" s="7" t="s">
        <v>19</v>
      </c>
      <c r="H20" s="7" t="s">
        <v>20</v>
      </c>
      <c r="I20" s="7"/>
      <c r="J20" s="7" t="s">
        <v>21</v>
      </c>
      <c r="K20" s="9" t="s">
        <v>22</v>
      </c>
      <c r="L20" s="7" t="s">
        <v>31</v>
      </c>
      <c r="M20" s="8" t="s">
        <v>89</v>
      </c>
    </row>
    <row r="21" customFormat="false" ht="15" hidden="false" customHeight="false" outlineLevel="0" collapsed="false">
      <c r="A21" s="6" t="s">
        <v>13</v>
      </c>
      <c r="B21" s="7" t="s">
        <v>90</v>
      </c>
      <c r="C21" s="8" t="s">
        <v>91</v>
      </c>
      <c r="D21" s="7" t="s">
        <v>16</v>
      </c>
      <c r="E21" s="7" t="s">
        <v>52</v>
      </c>
      <c r="F21" s="7" t="s">
        <v>56</v>
      </c>
      <c r="G21" s="7" t="s">
        <v>73</v>
      </c>
      <c r="H21" s="7" t="s">
        <v>20</v>
      </c>
      <c r="I21" s="7"/>
      <c r="J21" s="7" t="s">
        <v>21</v>
      </c>
      <c r="K21" s="10" t="s">
        <v>74</v>
      </c>
      <c r="L21" s="7" t="s">
        <v>92</v>
      </c>
      <c r="M21" s="8" t="s">
        <v>93</v>
      </c>
    </row>
    <row r="22" customFormat="false" ht="23.85" hidden="false" customHeight="false" outlineLevel="0" collapsed="false">
      <c r="A22" s="11" t="s">
        <v>13</v>
      </c>
      <c r="B22" s="12" t="s">
        <v>94</v>
      </c>
      <c r="C22" s="13" t="s">
        <v>95</v>
      </c>
      <c r="D22" s="12" t="s">
        <v>16</v>
      </c>
      <c r="E22" s="12" t="s">
        <v>96</v>
      </c>
      <c r="F22" s="12" t="s">
        <v>56</v>
      </c>
      <c r="G22" s="12" t="s">
        <v>35</v>
      </c>
      <c r="H22" s="12" t="s">
        <v>20</v>
      </c>
      <c r="I22" s="12"/>
      <c r="J22" s="12" t="s">
        <v>21</v>
      </c>
      <c r="K22" s="14" t="s">
        <v>74</v>
      </c>
      <c r="L22" s="12" t="s">
        <v>97</v>
      </c>
      <c r="M22" s="13" t="s">
        <v>98</v>
      </c>
    </row>
    <row r="23" customFormat="false" ht="15" hidden="false" customHeight="false" outlineLevel="0" collapsed="false">
      <c r="A23" s="11" t="s">
        <v>13</v>
      </c>
      <c r="B23" s="12" t="s">
        <v>99</v>
      </c>
      <c r="C23" s="13" t="s">
        <v>100</v>
      </c>
      <c r="D23" s="12" t="s">
        <v>16</v>
      </c>
      <c r="E23" s="12" t="s">
        <v>96</v>
      </c>
      <c r="F23" s="12" t="s">
        <v>56</v>
      </c>
      <c r="G23" s="12" t="s">
        <v>73</v>
      </c>
      <c r="H23" s="12" t="s">
        <v>20</v>
      </c>
      <c r="I23" s="12"/>
      <c r="J23" s="12" t="s">
        <v>21</v>
      </c>
      <c r="K23" s="11" t="s">
        <v>101</v>
      </c>
      <c r="L23" s="12" t="s">
        <v>79</v>
      </c>
      <c r="M23" s="13" t="s">
        <v>102</v>
      </c>
    </row>
    <row r="24" customFormat="false" ht="23.85" hidden="false" customHeight="false" outlineLevel="0" collapsed="false">
      <c r="A24" s="11" t="s">
        <v>13</v>
      </c>
      <c r="B24" s="12" t="s">
        <v>103</v>
      </c>
      <c r="C24" s="13" t="s">
        <v>104</v>
      </c>
      <c r="D24" s="12" t="s">
        <v>16</v>
      </c>
      <c r="E24" s="12" t="s">
        <v>96</v>
      </c>
      <c r="F24" s="12" t="s">
        <v>56</v>
      </c>
      <c r="G24" s="12" t="s">
        <v>35</v>
      </c>
      <c r="H24" s="12" t="s">
        <v>20</v>
      </c>
      <c r="I24" s="12"/>
      <c r="J24" s="12" t="s">
        <v>21</v>
      </c>
      <c r="K24" s="14" t="s">
        <v>74</v>
      </c>
      <c r="L24" s="12" t="s">
        <v>105</v>
      </c>
      <c r="M24" s="13" t="s">
        <v>106</v>
      </c>
    </row>
    <row r="25" customFormat="false" ht="15" hidden="false" customHeight="false" outlineLevel="0" collapsed="false">
      <c r="A25" s="11" t="s">
        <v>13</v>
      </c>
      <c r="B25" s="12" t="s">
        <v>107</v>
      </c>
      <c r="C25" s="13" t="s">
        <v>108</v>
      </c>
      <c r="D25" s="12" t="s">
        <v>16</v>
      </c>
      <c r="E25" s="12" t="s">
        <v>96</v>
      </c>
      <c r="F25" s="12" t="s">
        <v>56</v>
      </c>
      <c r="G25" s="12" t="s">
        <v>73</v>
      </c>
      <c r="H25" s="12" t="s">
        <v>20</v>
      </c>
      <c r="I25" s="12"/>
      <c r="J25" s="12" t="s">
        <v>21</v>
      </c>
      <c r="K25" s="11" t="s">
        <v>101</v>
      </c>
      <c r="L25" s="12" t="s">
        <v>92</v>
      </c>
      <c r="M25" s="13" t="s">
        <v>109</v>
      </c>
    </row>
    <row r="26" customFormat="false" ht="23.85" hidden="false" customHeight="false" outlineLevel="0" collapsed="false">
      <c r="A26" s="11" t="s">
        <v>13</v>
      </c>
      <c r="B26" s="12" t="s">
        <v>110</v>
      </c>
      <c r="C26" s="13" t="s">
        <v>111</v>
      </c>
      <c r="D26" s="12" t="s">
        <v>16</v>
      </c>
      <c r="E26" s="12" t="s">
        <v>96</v>
      </c>
      <c r="F26" s="12" t="s">
        <v>56</v>
      </c>
      <c r="G26" s="12" t="s">
        <v>19</v>
      </c>
      <c r="H26" s="12" t="s">
        <v>20</v>
      </c>
      <c r="I26" s="12"/>
      <c r="J26" s="12" t="s">
        <v>21</v>
      </c>
      <c r="K26" s="14" t="s">
        <v>74</v>
      </c>
      <c r="L26" s="12" t="s">
        <v>112</v>
      </c>
      <c r="M26" s="13" t="s">
        <v>113</v>
      </c>
    </row>
    <row r="27" customFormat="false" ht="23.85" hidden="false" customHeight="false" outlineLevel="0" collapsed="false">
      <c r="A27" s="11" t="s">
        <v>13</v>
      </c>
      <c r="B27" s="12" t="s">
        <v>114</v>
      </c>
      <c r="C27" s="13" t="s">
        <v>115</v>
      </c>
      <c r="D27" s="12" t="s">
        <v>16</v>
      </c>
      <c r="E27" s="12" t="s">
        <v>96</v>
      </c>
      <c r="F27" s="12" t="s">
        <v>56</v>
      </c>
      <c r="G27" s="12" t="s">
        <v>42</v>
      </c>
      <c r="H27" s="12" t="s">
        <v>20</v>
      </c>
      <c r="I27" s="12"/>
      <c r="J27" s="12" t="s">
        <v>21</v>
      </c>
      <c r="K27" s="11" t="s">
        <v>101</v>
      </c>
      <c r="L27" s="12" t="s">
        <v>116</v>
      </c>
      <c r="M27" s="13" t="s">
        <v>117</v>
      </c>
    </row>
    <row r="28" customFormat="false" ht="23.85" hidden="false" customHeight="false" outlineLevel="0" collapsed="false">
      <c r="A28" s="11" t="s">
        <v>13</v>
      </c>
      <c r="B28" s="12" t="s">
        <v>118</v>
      </c>
      <c r="C28" s="13" t="s">
        <v>119</v>
      </c>
      <c r="D28" s="12" t="s">
        <v>16</v>
      </c>
      <c r="E28" s="12" t="s">
        <v>96</v>
      </c>
      <c r="F28" s="12" t="s">
        <v>56</v>
      </c>
      <c r="G28" s="12" t="s">
        <v>120</v>
      </c>
      <c r="H28" s="12" t="s">
        <v>121</v>
      </c>
      <c r="I28" s="12" t="s">
        <v>122</v>
      </c>
      <c r="J28" s="12" t="s">
        <v>21</v>
      </c>
      <c r="K28" s="11" t="s">
        <v>101</v>
      </c>
      <c r="L28" s="12" t="s">
        <v>123</v>
      </c>
      <c r="M28" s="13" t="s">
        <v>124</v>
      </c>
    </row>
    <row r="29" customFormat="false" ht="23.85" hidden="false" customHeight="false" outlineLevel="0" collapsed="false">
      <c r="A29" s="11" t="s">
        <v>13</v>
      </c>
      <c r="B29" s="12" t="s">
        <v>125</v>
      </c>
      <c r="C29" s="13" t="s">
        <v>126</v>
      </c>
      <c r="D29" s="12" t="s">
        <v>16</v>
      </c>
      <c r="E29" s="12" t="s">
        <v>96</v>
      </c>
      <c r="F29" s="12" t="s">
        <v>56</v>
      </c>
      <c r="G29" s="12" t="s">
        <v>73</v>
      </c>
      <c r="H29" s="12" t="s">
        <v>121</v>
      </c>
      <c r="I29" s="12"/>
      <c r="J29" s="12" t="s">
        <v>21</v>
      </c>
      <c r="K29" s="11" t="s">
        <v>101</v>
      </c>
      <c r="L29" s="12" t="s">
        <v>79</v>
      </c>
      <c r="M29" s="13" t="s">
        <v>127</v>
      </c>
    </row>
    <row r="30" customFormat="false" ht="23.85" hidden="false" customHeight="false" outlineLevel="0" collapsed="false">
      <c r="A30" s="11" t="s">
        <v>13</v>
      </c>
      <c r="B30" s="12" t="s">
        <v>128</v>
      </c>
      <c r="C30" s="13" t="s">
        <v>129</v>
      </c>
      <c r="D30" s="12" t="s">
        <v>16</v>
      </c>
      <c r="E30" s="12" t="s">
        <v>96</v>
      </c>
      <c r="F30" s="12" t="s">
        <v>56</v>
      </c>
      <c r="G30" s="12" t="s">
        <v>35</v>
      </c>
      <c r="H30" s="12" t="s">
        <v>20</v>
      </c>
      <c r="I30" s="12"/>
      <c r="J30" s="12" t="s">
        <v>21</v>
      </c>
      <c r="K30" s="14" t="s">
        <v>74</v>
      </c>
      <c r="L30" s="12" t="s">
        <v>105</v>
      </c>
      <c r="M30" s="13" t="s">
        <v>130</v>
      </c>
    </row>
    <row r="31" customFormat="false" ht="23.85" hidden="false" customHeight="false" outlineLevel="0" collapsed="false">
      <c r="A31" s="11" t="s">
        <v>13</v>
      </c>
      <c r="B31" s="12" t="s">
        <v>131</v>
      </c>
      <c r="C31" s="13" t="s">
        <v>132</v>
      </c>
      <c r="D31" s="12" t="s">
        <v>16</v>
      </c>
      <c r="E31" s="12" t="s">
        <v>96</v>
      </c>
      <c r="F31" s="12" t="s">
        <v>56</v>
      </c>
      <c r="G31" s="12" t="s">
        <v>19</v>
      </c>
      <c r="H31" s="12" t="s">
        <v>20</v>
      </c>
      <c r="I31" s="12"/>
      <c r="J31" s="12" t="s">
        <v>21</v>
      </c>
      <c r="K31" s="15" t="s">
        <v>22</v>
      </c>
      <c r="L31" s="12" t="s">
        <v>31</v>
      </c>
      <c r="M31" s="13" t="s">
        <v>133</v>
      </c>
    </row>
    <row r="32" customFormat="false" ht="23.85" hidden="false" customHeight="false" outlineLevel="0" collapsed="false">
      <c r="A32" s="11" t="s">
        <v>13</v>
      </c>
      <c r="B32" s="12" t="s">
        <v>134</v>
      </c>
      <c r="C32" s="13" t="s">
        <v>135</v>
      </c>
      <c r="D32" s="12" t="s">
        <v>16</v>
      </c>
      <c r="E32" s="12" t="s">
        <v>96</v>
      </c>
      <c r="F32" s="12" t="s">
        <v>56</v>
      </c>
      <c r="G32" s="12" t="s">
        <v>73</v>
      </c>
      <c r="H32" s="12" t="s">
        <v>20</v>
      </c>
      <c r="I32" s="12"/>
      <c r="J32" s="12" t="s">
        <v>21</v>
      </c>
      <c r="K32" s="11" t="s">
        <v>101</v>
      </c>
      <c r="L32" s="12" t="s">
        <v>116</v>
      </c>
      <c r="M32" s="13" t="s">
        <v>136</v>
      </c>
    </row>
    <row r="33" customFormat="false" ht="15" hidden="false" customHeight="false" outlineLevel="0" collapsed="false">
      <c r="A33" s="11" t="s">
        <v>13</v>
      </c>
      <c r="B33" s="12" t="s">
        <v>137</v>
      </c>
      <c r="C33" s="13" t="s">
        <v>138</v>
      </c>
      <c r="D33" s="12" t="s">
        <v>16</v>
      </c>
      <c r="E33" s="12" t="s">
        <v>96</v>
      </c>
      <c r="F33" s="12" t="s">
        <v>56</v>
      </c>
      <c r="G33" s="12" t="s">
        <v>42</v>
      </c>
      <c r="H33" s="12" t="s">
        <v>20</v>
      </c>
      <c r="I33" s="12"/>
      <c r="J33" s="12" t="s">
        <v>21</v>
      </c>
      <c r="K33" s="11" t="s">
        <v>101</v>
      </c>
      <c r="L33" s="12" t="s">
        <v>92</v>
      </c>
      <c r="M33" s="13" t="s">
        <v>139</v>
      </c>
    </row>
    <row r="34" customFormat="false" ht="23.85" hidden="false" customHeight="false" outlineLevel="0" collapsed="false">
      <c r="A34" s="11" t="s">
        <v>13</v>
      </c>
      <c r="B34" s="12" t="s">
        <v>140</v>
      </c>
      <c r="C34" s="13" t="s">
        <v>141</v>
      </c>
      <c r="D34" s="12" t="s">
        <v>16</v>
      </c>
      <c r="E34" s="12" t="s">
        <v>96</v>
      </c>
      <c r="F34" s="12" t="s">
        <v>56</v>
      </c>
      <c r="G34" s="12" t="s">
        <v>120</v>
      </c>
      <c r="H34" s="12" t="s">
        <v>121</v>
      </c>
      <c r="I34" s="12" t="s">
        <v>122</v>
      </c>
      <c r="J34" s="12" t="s">
        <v>21</v>
      </c>
      <c r="K34" s="11" t="s">
        <v>101</v>
      </c>
      <c r="L34" s="12" t="s">
        <v>142</v>
      </c>
      <c r="M34" s="13" t="s">
        <v>143</v>
      </c>
    </row>
    <row r="35" customFormat="false" ht="15" hidden="false" customHeight="false" outlineLevel="0" collapsed="false">
      <c r="A35" s="11" t="s">
        <v>13</v>
      </c>
      <c r="B35" s="12" t="s">
        <v>144</v>
      </c>
      <c r="C35" s="13" t="s">
        <v>145</v>
      </c>
      <c r="D35" s="12" t="s">
        <v>16</v>
      </c>
      <c r="E35" s="12" t="s">
        <v>96</v>
      </c>
      <c r="F35" s="12" t="s">
        <v>56</v>
      </c>
      <c r="G35" s="12" t="s">
        <v>35</v>
      </c>
      <c r="H35" s="12" t="s">
        <v>20</v>
      </c>
      <c r="I35" s="12"/>
      <c r="J35" s="12" t="s">
        <v>21</v>
      </c>
      <c r="K35" s="14" t="s">
        <v>74</v>
      </c>
      <c r="L35" s="12" t="s">
        <v>97</v>
      </c>
      <c r="M35" s="13" t="s">
        <v>146</v>
      </c>
    </row>
    <row r="36" customFormat="false" ht="15" hidden="false" customHeight="false" outlineLevel="0" collapsed="false">
      <c r="A36" s="11" t="s">
        <v>13</v>
      </c>
      <c r="B36" s="12" t="s">
        <v>147</v>
      </c>
      <c r="C36" s="13" t="s">
        <v>148</v>
      </c>
      <c r="D36" s="12" t="s">
        <v>16</v>
      </c>
      <c r="E36" s="12" t="s">
        <v>96</v>
      </c>
      <c r="F36" s="12" t="s">
        <v>56</v>
      </c>
      <c r="G36" s="12" t="s">
        <v>73</v>
      </c>
      <c r="H36" s="12" t="s">
        <v>20</v>
      </c>
      <c r="I36" s="12"/>
      <c r="J36" s="12" t="s">
        <v>21</v>
      </c>
      <c r="K36" s="11" t="s">
        <v>101</v>
      </c>
      <c r="L36" s="12" t="s">
        <v>92</v>
      </c>
      <c r="M36" s="13" t="s">
        <v>149</v>
      </c>
    </row>
    <row r="37" customFormat="false" ht="23.85" hidden="false" customHeight="false" outlineLevel="0" collapsed="false">
      <c r="A37" s="11" t="s">
        <v>13</v>
      </c>
      <c r="B37" s="12" t="s">
        <v>150</v>
      </c>
      <c r="C37" s="13" t="s">
        <v>151</v>
      </c>
      <c r="D37" s="12" t="s">
        <v>16</v>
      </c>
      <c r="E37" s="12" t="s">
        <v>96</v>
      </c>
      <c r="F37" s="12" t="s">
        <v>56</v>
      </c>
      <c r="G37" s="12" t="s">
        <v>19</v>
      </c>
      <c r="H37" s="12" t="s">
        <v>20</v>
      </c>
      <c r="I37" s="12"/>
      <c r="J37" s="12" t="s">
        <v>21</v>
      </c>
      <c r="K37" s="14" t="s">
        <v>74</v>
      </c>
      <c r="L37" s="12" t="s">
        <v>112</v>
      </c>
      <c r="M37" s="13" t="s">
        <v>152</v>
      </c>
    </row>
    <row r="38" customFormat="false" ht="23.85" hidden="false" customHeight="false" outlineLevel="0" collapsed="false">
      <c r="A38" s="11" t="s">
        <v>13</v>
      </c>
      <c r="B38" s="12" t="s">
        <v>153</v>
      </c>
      <c r="C38" s="13" t="s">
        <v>154</v>
      </c>
      <c r="D38" s="12" t="s">
        <v>16</v>
      </c>
      <c r="E38" s="12" t="s">
        <v>96</v>
      </c>
      <c r="F38" s="12" t="s">
        <v>56</v>
      </c>
      <c r="G38" s="12" t="s">
        <v>42</v>
      </c>
      <c r="H38" s="12" t="s">
        <v>20</v>
      </c>
      <c r="I38" s="12"/>
      <c r="J38" s="12" t="s">
        <v>21</v>
      </c>
      <c r="K38" s="11" t="s">
        <v>101</v>
      </c>
      <c r="L38" s="12" t="s">
        <v>92</v>
      </c>
      <c r="M38" s="13" t="s">
        <v>155</v>
      </c>
    </row>
    <row r="39" customFormat="false" ht="15" hidden="false" customHeight="false" outlineLevel="0" collapsed="false">
      <c r="A39" s="11" t="s">
        <v>13</v>
      </c>
      <c r="B39" s="12" t="s">
        <v>156</v>
      </c>
      <c r="C39" s="13" t="s">
        <v>157</v>
      </c>
      <c r="D39" s="12" t="s">
        <v>16</v>
      </c>
      <c r="E39" s="12" t="s">
        <v>96</v>
      </c>
      <c r="F39" s="12" t="s">
        <v>56</v>
      </c>
      <c r="G39" s="12" t="s">
        <v>120</v>
      </c>
      <c r="H39" s="12" t="s">
        <v>121</v>
      </c>
      <c r="I39" s="12" t="s">
        <v>122</v>
      </c>
      <c r="J39" s="12" t="s">
        <v>21</v>
      </c>
      <c r="K39" s="11" t="s">
        <v>101</v>
      </c>
      <c r="L39" s="12" t="s">
        <v>123</v>
      </c>
      <c r="M39" s="13" t="s">
        <v>158</v>
      </c>
    </row>
    <row r="40" customFormat="false" ht="15" hidden="false" customHeight="false" outlineLevel="0" collapsed="false">
      <c r="A40" s="16" t="s">
        <v>13</v>
      </c>
      <c r="B40" s="17" t="s">
        <v>159</v>
      </c>
      <c r="C40" s="18" t="s">
        <v>160</v>
      </c>
      <c r="D40" s="17" t="s">
        <v>16</v>
      </c>
      <c r="E40" s="17" t="s">
        <v>161</v>
      </c>
      <c r="F40" s="17" t="s">
        <v>162</v>
      </c>
      <c r="G40" s="17" t="s">
        <v>73</v>
      </c>
      <c r="H40" s="17" t="s">
        <v>121</v>
      </c>
      <c r="I40" s="17"/>
      <c r="J40" s="17" t="s">
        <v>21</v>
      </c>
      <c r="K40" s="16" t="s">
        <v>101</v>
      </c>
      <c r="L40" s="17" t="s">
        <v>79</v>
      </c>
      <c r="M40" s="18" t="s">
        <v>163</v>
      </c>
    </row>
    <row r="41" customFormat="false" ht="23.85" hidden="false" customHeight="false" outlineLevel="0" collapsed="false">
      <c r="A41" s="16" t="s">
        <v>13</v>
      </c>
      <c r="B41" s="17" t="s">
        <v>164</v>
      </c>
      <c r="C41" s="18" t="s">
        <v>165</v>
      </c>
      <c r="D41" s="17" t="s">
        <v>16</v>
      </c>
      <c r="E41" s="17" t="s">
        <v>161</v>
      </c>
      <c r="F41" s="17" t="s">
        <v>162</v>
      </c>
      <c r="G41" s="17" t="s">
        <v>120</v>
      </c>
      <c r="H41" s="17" t="s">
        <v>121</v>
      </c>
      <c r="I41" s="17" t="s">
        <v>122</v>
      </c>
      <c r="J41" s="17" t="s">
        <v>21</v>
      </c>
      <c r="K41" s="16" t="s">
        <v>101</v>
      </c>
      <c r="L41" s="17" t="s">
        <v>166</v>
      </c>
      <c r="M41" s="18" t="s">
        <v>167</v>
      </c>
    </row>
    <row r="42" customFormat="false" ht="15" hidden="false" customHeight="false" outlineLevel="0" collapsed="false">
      <c r="A42" s="16" t="s">
        <v>13</v>
      </c>
      <c r="B42" s="17" t="s">
        <v>168</v>
      </c>
      <c r="C42" s="18" t="s">
        <v>169</v>
      </c>
      <c r="D42" s="17" t="s">
        <v>16</v>
      </c>
      <c r="E42" s="17" t="s">
        <v>161</v>
      </c>
      <c r="F42" s="17" t="s">
        <v>162</v>
      </c>
      <c r="G42" s="17" t="s">
        <v>73</v>
      </c>
      <c r="H42" s="17" t="s">
        <v>121</v>
      </c>
      <c r="I42" s="17"/>
      <c r="J42" s="17" t="s">
        <v>21</v>
      </c>
      <c r="K42" s="16" t="s">
        <v>101</v>
      </c>
      <c r="L42" s="17" t="s">
        <v>170</v>
      </c>
      <c r="M42" s="18" t="s">
        <v>171</v>
      </c>
    </row>
    <row r="43" customFormat="false" ht="15" hidden="false" customHeight="false" outlineLevel="0" collapsed="false">
      <c r="A43" s="16" t="s">
        <v>13</v>
      </c>
      <c r="B43" s="17" t="s">
        <v>172</v>
      </c>
      <c r="C43" s="18" t="s">
        <v>173</v>
      </c>
      <c r="D43" s="17" t="s">
        <v>16</v>
      </c>
      <c r="E43" s="17" t="s">
        <v>161</v>
      </c>
      <c r="F43" s="17" t="s">
        <v>162</v>
      </c>
      <c r="G43" s="17" t="s">
        <v>120</v>
      </c>
      <c r="H43" s="17" t="s">
        <v>121</v>
      </c>
      <c r="I43" s="17" t="s">
        <v>174</v>
      </c>
      <c r="J43" s="17" t="s">
        <v>21</v>
      </c>
      <c r="K43" s="16" t="s">
        <v>101</v>
      </c>
      <c r="L43" s="17" t="s">
        <v>123</v>
      </c>
      <c r="M43" s="18" t="s">
        <v>175</v>
      </c>
    </row>
    <row r="44" customFormat="false" ht="15" hidden="false" customHeight="false" outlineLevel="0" collapsed="false">
      <c r="A44" s="16" t="s">
        <v>13</v>
      </c>
      <c r="B44" s="17" t="s">
        <v>176</v>
      </c>
      <c r="C44" s="18" t="s">
        <v>177</v>
      </c>
      <c r="D44" s="17" t="s">
        <v>16</v>
      </c>
      <c r="E44" s="17" t="s">
        <v>161</v>
      </c>
      <c r="F44" s="17" t="s">
        <v>162</v>
      </c>
      <c r="G44" s="17" t="s">
        <v>73</v>
      </c>
      <c r="H44" s="17" t="s">
        <v>121</v>
      </c>
      <c r="I44" s="17"/>
      <c r="J44" s="17" t="s">
        <v>21</v>
      </c>
      <c r="K44" s="16" t="s">
        <v>101</v>
      </c>
      <c r="L44" s="17" t="s">
        <v>79</v>
      </c>
      <c r="M44" s="18" t="s">
        <v>178</v>
      </c>
    </row>
    <row r="45" customFormat="false" ht="23.85" hidden="false" customHeight="false" outlineLevel="0" collapsed="false">
      <c r="A45" s="16" t="s">
        <v>13</v>
      </c>
      <c r="B45" s="17" t="s">
        <v>179</v>
      </c>
      <c r="C45" s="18" t="s">
        <v>180</v>
      </c>
      <c r="D45" s="17" t="s">
        <v>16</v>
      </c>
      <c r="E45" s="17" t="s">
        <v>161</v>
      </c>
      <c r="F45" s="17" t="s">
        <v>162</v>
      </c>
      <c r="G45" s="17" t="s">
        <v>120</v>
      </c>
      <c r="H45" s="17" t="s">
        <v>121</v>
      </c>
      <c r="I45" s="17"/>
      <c r="J45" s="17" t="s">
        <v>21</v>
      </c>
      <c r="K45" s="16" t="s">
        <v>101</v>
      </c>
      <c r="L45" s="17" t="s">
        <v>181</v>
      </c>
      <c r="M45" s="18" t="s">
        <v>182</v>
      </c>
    </row>
    <row r="46" customFormat="false" ht="23.85" hidden="false" customHeight="false" outlineLevel="0" collapsed="false">
      <c r="A46" s="16" t="s">
        <v>13</v>
      </c>
      <c r="B46" s="17" t="s">
        <v>183</v>
      </c>
      <c r="C46" s="18" t="s">
        <v>184</v>
      </c>
      <c r="D46" s="17" t="s">
        <v>16</v>
      </c>
      <c r="E46" s="17" t="s">
        <v>161</v>
      </c>
      <c r="F46" s="17" t="s">
        <v>162</v>
      </c>
      <c r="G46" s="17" t="s">
        <v>73</v>
      </c>
      <c r="H46" s="17" t="s">
        <v>121</v>
      </c>
      <c r="I46" s="17"/>
      <c r="J46" s="17" t="s">
        <v>21</v>
      </c>
      <c r="K46" s="16" t="s">
        <v>101</v>
      </c>
      <c r="L46" s="17" t="s">
        <v>170</v>
      </c>
      <c r="M46" s="18" t="s">
        <v>185</v>
      </c>
    </row>
    <row r="47" customFormat="false" ht="15" hidden="false" customHeight="false" outlineLevel="0" collapsed="false">
      <c r="A47" s="16" t="s">
        <v>13</v>
      </c>
      <c r="B47" s="17" t="s">
        <v>186</v>
      </c>
      <c r="C47" s="18" t="s">
        <v>187</v>
      </c>
      <c r="D47" s="17" t="s">
        <v>16</v>
      </c>
      <c r="E47" s="17" t="s">
        <v>161</v>
      </c>
      <c r="F47" s="17" t="s">
        <v>162</v>
      </c>
      <c r="G47" s="17" t="s">
        <v>35</v>
      </c>
      <c r="H47" s="17" t="s">
        <v>121</v>
      </c>
      <c r="I47" s="17"/>
      <c r="J47" s="17" t="s">
        <v>21</v>
      </c>
      <c r="K47" s="16" t="s">
        <v>101</v>
      </c>
      <c r="L47" s="17" t="s">
        <v>92</v>
      </c>
      <c r="M47" s="18" t="s">
        <v>188</v>
      </c>
    </row>
    <row r="48" customFormat="false" ht="23.85" hidden="false" customHeight="false" outlineLevel="0" collapsed="false">
      <c r="A48" s="16" t="s">
        <v>13</v>
      </c>
      <c r="B48" s="17" t="s">
        <v>189</v>
      </c>
      <c r="C48" s="18" t="s">
        <v>190</v>
      </c>
      <c r="D48" s="17" t="s">
        <v>16</v>
      </c>
      <c r="E48" s="17" t="s">
        <v>161</v>
      </c>
      <c r="F48" s="17" t="s">
        <v>162</v>
      </c>
      <c r="G48" s="17" t="s">
        <v>73</v>
      </c>
      <c r="H48" s="17" t="s">
        <v>121</v>
      </c>
      <c r="I48" s="17"/>
      <c r="J48" s="17" t="s">
        <v>21</v>
      </c>
      <c r="K48" s="16" t="s">
        <v>101</v>
      </c>
      <c r="L48" s="17" t="s">
        <v>92</v>
      </c>
      <c r="M48" s="18" t="s">
        <v>191</v>
      </c>
    </row>
    <row r="49" customFormat="false" ht="15" hidden="false" customHeight="false" outlineLevel="0" collapsed="false">
      <c r="A49" s="16" t="s">
        <v>13</v>
      </c>
      <c r="B49" s="17" t="s">
        <v>192</v>
      </c>
      <c r="C49" s="18" t="s">
        <v>193</v>
      </c>
      <c r="D49" s="17" t="s">
        <v>16</v>
      </c>
      <c r="E49" s="17" t="s">
        <v>161</v>
      </c>
      <c r="F49" s="17" t="s">
        <v>162</v>
      </c>
      <c r="G49" s="17" t="s">
        <v>120</v>
      </c>
      <c r="H49" s="17" t="s">
        <v>121</v>
      </c>
      <c r="I49" s="17" t="s">
        <v>122</v>
      </c>
      <c r="J49" s="17" t="s">
        <v>21</v>
      </c>
      <c r="K49" s="16" t="s">
        <v>101</v>
      </c>
      <c r="L49" s="17" t="s">
        <v>123</v>
      </c>
      <c r="M49" s="18" t="s">
        <v>194</v>
      </c>
    </row>
    <row r="50" customFormat="false" ht="15" hidden="false" customHeight="false" outlineLevel="0" collapsed="false">
      <c r="A50" s="16" t="s">
        <v>13</v>
      </c>
      <c r="B50" s="17" t="s">
        <v>195</v>
      </c>
      <c r="C50" s="18" t="s">
        <v>196</v>
      </c>
      <c r="D50" s="17" t="s">
        <v>16</v>
      </c>
      <c r="E50" s="17" t="s">
        <v>161</v>
      </c>
      <c r="F50" s="17" t="s">
        <v>162</v>
      </c>
      <c r="G50" s="17" t="s">
        <v>73</v>
      </c>
      <c r="H50" s="17" t="s">
        <v>121</v>
      </c>
      <c r="I50" s="17"/>
      <c r="J50" s="17" t="s">
        <v>21</v>
      </c>
      <c r="K50" s="16" t="s">
        <v>101</v>
      </c>
      <c r="L50" s="17" t="s">
        <v>92</v>
      </c>
      <c r="M50" s="18" t="s">
        <v>197</v>
      </c>
    </row>
    <row r="51" customFormat="false" ht="15" hidden="false" customHeight="false" outlineLevel="0" collapsed="false">
      <c r="A51" s="16" t="s">
        <v>13</v>
      </c>
      <c r="B51" s="17" t="s">
        <v>198</v>
      </c>
      <c r="C51" s="18" t="s">
        <v>199</v>
      </c>
      <c r="D51" s="17" t="s">
        <v>16</v>
      </c>
      <c r="E51" s="17" t="s">
        <v>161</v>
      </c>
      <c r="F51" s="17" t="s">
        <v>162</v>
      </c>
      <c r="G51" s="17" t="s">
        <v>42</v>
      </c>
      <c r="H51" s="17" t="s">
        <v>121</v>
      </c>
      <c r="I51" s="17"/>
      <c r="J51" s="17" t="s">
        <v>21</v>
      </c>
      <c r="K51" s="16" t="s">
        <v>101</v>
      </c>
      <c r="L51" s="17" t="s">
        <v>79</v>
      </c>
      <c r="M51" s="18" t="s">
        <v>200</v>
      </c>
    </row>
    <row r="52" customFormat="false" ht="15" hidden="false" customHeight="false" outlineLevel="0" collapsed="false">
      <c r="A52" s="16" t="s">
        <v>13</v>
      </c>
      <c r="B52" s="17" t="s">
        <v>201</v>
      </c>
      <c r="C52" s="18" t="s">
        <v>202</v>
      </c>
      <c r="D52" s="17" t="s">
        <v>16</v>
      </c>
      <c r="E52" s="17" t="s">
        <v>161</v>
      </c>
      <c r="F52" s="17" t="s">
        <v>162</v>
      </c>
      <c r="G52" s="17" t="s">
        <v>73</v>
      </c>
      <c r="H52" s="17" t="s">
        <v>121</v>
      </c>
      <c r="I52" s="17"/>
      <c r="J52" s="17" t="s">
        <v>21</v>
      </c>
      <c r="K52" s="16" t="s">
        <v>101</v>
      </c>
      <c r="L52" s="17" t="s">
        <v>92</v>
      </c>
      <c r="M52" s="18" t="s">
        <v>203</v>
      </c>
    </row>
    <row r="53" customFormat="false" ht="23.85" hidden="false" customHeight="false" outlineLevel="0" collapsed="false">
      <c r="A53" s="16" t="s">
        <v>13</v>
      </c>
      <c r="B53" s="17" t="s">
        <v>204</v>
      </c>
      <c r="C53" s="18" t="s">
        <v>205</v>
      </c>
      <c r="D53" s="17" t="s">
        <v>16</v>
      </c>
      <c r="E53" s="17" t="s">
        <v>161</v>
      </c>
      <c r="F53" s="17" t="s">
        <v>162</v>
      </c>
      <c r="G53" s="17" t="s">
        <v>120</v>
      </c>
      <c r="H53" s="17" t="s">
        <v>121</v>
      </c>
      <c r="I53" s="17" t="s">
        <v>174</v>
      </c>
      <c r="J53" s="17" t="s">
        <v>21</v>
      </c>
      <c r="K53" s="16" t="s">
        <v>101</v>
      </c>
      <c r="L53" s="17" t="s">
        <v>206</v>
      </c>
      <c r="M53" s="18" t="s">
        <v>207</v>
      </c>
    </row>
    <row r="54" customFormat="false" ht="15" hidden="false" customHeight="false" outlineLevel="0" collapsed="false">
      <c r="A54" s="16" t="s">
        <v>13</v>
      </c>
      <c r="B54" s="17" t="s">
        <v>208</v>
      </c>
      <c r="C54" s="18" t="s">
        <v>209</v>
      </c>
      <c r="D54" s="17" t="s">
        <v>16</v>
      </c>
      <c r="E54" s="17" t="s">
        <v>161</v>
      </c>
      <c r="F54" s="17" t="s">
        <v>162</v>
      </c>
      <c r="G54" s="17" t="s">
        <v>73</v>
      </c>
      <c r="H54" s="17" t="s">
        <v>121</v>
      </c>
      <c r="I54" s="17"/>
      <c r="J54" s="17" t="s">
        <v>21</v>
      </c>
      <c r="K54" s="16" t="s">
        <v>101</v>
      </c>
      <c r="L54" s="17" t="s">
        <v>210</v>
      </c>
      <c r="M54" s="18" t="s">
        <v>211</v>
      </c>
    </row>
    <row r="55" customFormat="false" ht="15" hidden="false" customHeight="false" outlineLevel="0" collapsed="false">
      <c r="A55" s="16" t="s">
        <v>13</v>
      </c>
      <c r="B55" s="17" t="s">
        <v>212</v>
      </c>
      <c r="C55" s="18" t="s">
        <v>213</v>
      </c>
      <c r="D55" s="17" t="s">
        <v>16</v>
      </c>
      <c r="E55" s="17" t="s">
        <v>161</v>
      </c>
      <c r="F55" s="17" t="s">
        <v>162</v>
      </c>
      <c r="G55" s="17" t="s">
        <v>120</v>
      </c>
      <c r="H55" s="17" t="s">
        <v>121</v>
      </c>
      <c r="I55" s="17"/>
      <c r="J55" s="17" t="s">
        <v>21</v>
      </c>
      <c r="K55" s="16" t="s">
        <v>101</v>
      </c>
      <c r="L55" s="17" t="s">
        <v>170</v>
      </c>
      <c r="M55" s="18" t="s">
        <v>214</v>
      </c>
    </row>
    <row r="56" customFormat="false" ht="15" hidden="false" customHeight="false" outlineLevel="0" collapsed="false">
      <c r="A56" s="16" t="s">
        <v>13</v>
      </c>
      <c r="B56" s="17" t="s">
        <v>215</v>
      </c>
      <c r="C56" s="18" t="s">
        <v>216</v>
      </c>
      <c r="D56" s="17" t="s">
        <v>16</v>
      </c>
      <c r="E56" s="17" t="s">
        <v>161</v>
      </c>
      <c r="F56" s="17" t="s">
        <v>162</v>
      </c>
      <c r="G56" s="17" t="s">
        <v>73</v>
      </c>
      <c r="H56" s="17" t="s">
        <v>121</v>
      </c>
      <c r="I56" s="17"/>
      <c r="J56" s="17" t="s">
        <v>21</v>
      </c>
      <c r="K56" s="16" t="s">
        <v>101</v>
      </c>
      <c r="L56" s="17" t="s">
        <v>210</v>
      </c>
      <c r="M56" s="18" t="s">
        <v>217</v>
      </c>
    </row>
  </sheetData>
  <autoFilter ref="A1:M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0"/>
  </cols>
  <sheetData>
    <row r="1" customFormat="false" ht="16.15" hidden="false" customHeight="false" outlineLevel="0" collapsed="false">
      <c r="A1" s="19" t="s">
        <v>218</v>
      </c>
    </row>
    <row r="2" customFormat="false" ht="15" hidden="false" customHeight="false" outlineLevel="0" collapsed="false">
      <c r="A2" s="20" t="s">
        <v>219</v>
      </c>
    </row>
    <row r="4" customFormat="false" ht="15" hidden="false" customHeight="false" outlineLevel="0" collapsed="false">
      <c r="A4" s="21" t="s">
        <v>220</v>
      </c>
    </row>
    <row r="5" customFormat="false" ht="15" hidden="false" customHeight="false" outlineLevel="0" collapsed="false">
      <c r="A5" s="22" t="s">
        <v>221</v>
      </c>
      <c r="B5" s="22" t="s">
        <v>222</v>
      </c>
      <c r="C5" s="22" t="s">
        <v>223</v>
      </c>
    </row>
    <row r="6" customFormat="false" ht="15" hidden="false" customHeight="false" outlineLevel="0" collapsed="false">
      <c r="A6" s="23" t="s">
        <v>17</v>
      </c>
      <c r="B6" s="23" t="n">
        <f aca="false">COUNTIF(Queries!E:E,A6)</f>
        <v>8</v>
      </c>
      <c r="C6" s="23" t="n">
        <f aca="false">COUNTIFS(Queries!E:E,A6,Queries!$A:$A,"y")</f>
        <v>8</v>
      </c>
    </row>
    <row r="7" customFormat="false" ht="15" hidden="false" customHeight="false" outlineLevel="0" collapsed="false">
      <c r="A7" s="23" t="s">
        <v>52</v>
      </c>
      <c r="B7" s="23" t="n">
        <f aca="false">COUNTIF(Queries!E:E,A7)</f>
        <v>12</v>
      </c>
      <c r="C7" s="23" t="n">
        <f aca="false">COUNTIFS(Queries!E:E,A7,Queries!$A:$A,"y")</f>
        <v>12</v>
      </c>
    </row>
    <row r="8" customFormat="false" ht="15" hidden="false" customHeight="false" outlineLevel="0" collapsed="false">
      <c r="A8" s="23" t="s">
        <v>96</v>
      </c>
      <c r="B8" s="23" t="n">
        <f aca="false">COUNTIF(Queries!E:E,A8)</f>
        <v>18</v>
      </c>
      <c r="C8" s="23" t="n">
        <f aca="false">COUNTIFS(Queries!E:E,A8,Queries!$A:$A,"y")</f>
        <v>18</v>
      </c>
    </row>
    <row r="9" customFormat="false" ht="15" hidden="false" customHeight="false" outlineLevel="0" collapsed="false">
      <c r="A9" s="23" t="s">
        <v>161</v>
      </c>
      <c r="B9" s="23" t="n">
        <f aca="false">COUNTIF(Queries!E:E,A9)</f>
        <v>17</v>
      </c>
      <c r="C9" s="23" t="n">
        <f aca="false">COUNTIFS(Queries!E:E,A9,Queries!$A:$A,"y")</f>
        <v>17</v>
      </c>
    </row>
    <row r="10" customFormat="false" ht="15" hidden="false" customHeight="false" outlineLevel="0" collapsed="false">
      <c r="A10" s="22" t="s">
        <v>224</v>
      </c>
      <c r="B10" s="22" t="n">
        <f aca="false">SUM(B6:B9)</f>
        <v>55</v>
      </c>
      <c r="C10" s="22" t="n">
        <f aca="false">SUM(C6:C9)</f>
        <v>55</v>
      </c>
    </row>
    <row r="12" customFormat="false" ht="15" hidden="false" customHeight="false" outlineLevel="0" collapsed="false">
      <c r="A12" s="21" t="s">
        <v>225</v>
      </c>
    </row>
    <row r="13" customFormat="false" ht="15" hidden="false" customHeight="false" outlineLevel="0" collapsed="false">
      <c r="A13" s="22" t="s">
        <v>221</v>
      </c>
      <c r="B13" s="22" t="s">
        <v>222</v>
      </c>
      <c r="C13" s="22" t="s">
        <v>223</v>
      </c>
    </row>
    <row r="14" customFormat="false" ht="15" hidden="false" customHeight="false" outlineLevel="0" collapsed="false">
      <c r="A14" s="23" t="s">
        <v>22</v>
      </c>
      <c r="B14" s="23" t="n">
        <f aca="false">COUNTIF(Queries!K:K,A14)</f>
        <v>18</v>
      </c>
      <c r="C14" s="23" t="n">
        <f aca="false">COUNTIFS(Queries!K:K,A14,Queries!$A:$A,"y")</f>
        <v>18</v>
      </c>
    </row>
    <row r="15" customFormat="false" ht="15" hidden="false" customHeight="false" outlineLevel="0" collapsed="false">
      <c r="A15" s="23" t="s">
        <v>74</v>
      </c>
      <c r="B15" s="23" t="n">
        <f aca="false">COUNTIF(Queries!K:K,A15)</f>
        <v>9</v>
      </c>
      <c r="C15" s="23" t="n">
        <f aca="false">COUNTIFS(Queries!K:K,A15,Queries!$A:$A,"y")</f>
        <v>9</v>
      </c>
    </row>
    <row r="16" customFormat="false" ht="15" hidden="false" customHeight="false" outlineLevel="0" collapsed="false">
      <c r="A16" s="23" t="s">
        <v>101</v>
      </c>
      <c r="B16" s="23" t="n">
        <f aca="false">COUNTIF(Queries!K:K,A16)</f>
        <v>28</v>
      </c>
      <c r="C16" s="23" t="n">
        <f aca="false">COUNTIFS(Queries!K:K,A16,Queries!$A:$A,"y")</f>
        <v>28</v>
      </c>
    </row>
    <row r="17" customFormat="false" ht="15" hidden="false" customHeight="false" outlineLevel="0" collapsed="false">
      <c r="A17" s="22" t="s">
        <v>224</v>
      </c>
      <c r="B17" s="22" t="n">
        <f aca="false">SUM(B14:B16)</f>
        <v>55</v>
      </c>
      <c r="C17" s="22" t="n">
        <f aca="false">SUM(C14:C16)</f>
        <v>55</v>
      </c>
    </row>
    <row r="19" customFormat="false" ht="15" hidden="false" customHeight="false" outlineLevel="0" collapsed="false">
      <c r="A19" s="21" t="s">
        <v>226</v>
      </c>
    </row>
    <row r="20" customFormat="false" ht="15" hidden="false" customHeight="false" outlineLevel="0" collapsed="false">
      <c r="A20" s="22" t="s">
        <v>221</v>
      </c>
      <c r="B20" s="22" t="s">
        <v>222</v>
      </c>
      <c r="C20" s="22" t="s">
        <v>223</v>
      </c>
    </row>
    <row r="21" customFormat="false" ht="15" hidden="false" customHeight="false" outlineLevel="0" collapsed="false">
      <c r="A21" s="23" t="s">
        <v>19</v>
      </c>
      <c r="B21" s="23" t="n">
        <f aca="false">COUNTIF(Queries!G:G,A21)</f>
        <v>11</v>
      </c>
      <c r="C21" s="23" t="n">
        <f aca="false">COUNTIFS(Queries!G:G,A21,Queries!$A:$A,"y")</f>
        <v>11</v>
      </c>
    </row>
    <row r="22" customFormat="false" ht="15" hidden="false" customHeight="false" outlineLevel="0" collapsed="false">
      <c r="A22" s="23" t="s">
        <v>73</v>
      </c>
      <c r="B22" s="23" t="n">
        <f aca="false">COUNTIF(Queries!G:G,A22)</f>
        <v>17</v>
      </c>
      <c r="C22" s="23" t="n">
        <f aca="false">COUNTIFS(Queries!G:G,A22,Queries!$A:$A,"y")</f>
        <v>17</v>
      </c>
    </row>
    <row r="23" customFormat="false" ht="15" hidden="false" customHeight="false" outlineLevel="0" collapsed="false">
      <c r="A23" s="23" t="s">
        <v>35</v>
      </c>
      <c r="B23" s="23" t="n">
        <f aca="false">COUNTIF(Queries!G:G,A23)</f>
        <v>10</v>
      </c>
      <c r="C23" s="23" t="n">
        <f aca="false">COUNTIFS(Queries!G:G,A23,Queries!$A:$A,"y")</f>
        <v>10</v>
      </c>
    </row>
    <row r="24" customFormat="false" ht="15" hidden="false" customHeight="false" outlineLevel="0" collapsed="false">
      <c r="A24" s="23" t="s">
        <v>120</v>
      </c>
      <c r="B24" s="23" t="n">
        <f aca="false">COUNTIF(Queries!G:G,A24)</f>
        <v>9</v>
      </c>
      <c r="C24" s="23" t="n">
        <f aca="false">COUNTIFS(Queries!G:G,A24,Queries!$A:$A,"y")</f>
        <v>9</v>
      </c>
    </row>
    <row r="25" customFormat="false" ht="15" hidden="false" customHeight="false" outlineLevel="0" collapsed="false">
      <c r="A25" s="23" t="s">
        <v>42</v>
      </c>
      <c r="B25" s="23" t="n">
        <f aca="false">COUNTIF(Queries!G:G,A25)</f>
        <v>8</v>
      </c>
      <c r="C25" s="23" t="n">
        <f aca="false">COUNTIFS(Queries!G:G,A25,Queries!$A:$A,"y")</f>
        <v>8</v>
      </c>
    </row>
    <row r="26" customFormat="false" ht="15" hidden="false" customHeight="false" outlineLevel="0" collapsed="false">
      <c r="A26" s="22" t="s">
        <v>224</v>
      </c>
      <c r="B26" s="22" t="n">
        <f aca="false">SUM(B21:B25)</f>
        <v>55</v>
      </c>
      <c r="C26" s="22" t="n">
        <f aca="false">SUM(C21:C25)</f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2026-07-01T05:43:14Z</dcterms:created>
  <dc:creator>openpyxl</dc:creator>
  <dc:description/>
  <dc:language>en-US</dc:language>
  <cp:lastModifiedBy/>
  <dcterms:modified xsi:type="dcterms:W3CDTF">2026-07-01T05:43:14Z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